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Cables" sheetId="2" state="visible" r:id="rId2"/>
    <sheet xmlns:r="http://schemas.openxmlformats.org/officeDocument/2006/relationships"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t="inlineStr">
        <is>
          <t>Project name</t>
        </is>
      </c>
      <c r="B1" t="inlineStr">
        <is>
          <t>Sample Plant (invented data)</t>
        </is>
      </c>
    </row>
    <row r="2">
      <c r="A2" t="inlineStr">
        <is>
          <t>Code (IEC or IS)</t>
        </is>
      </c>
      <c r="B2" t="inlineStr">
        <is>
          <t>IEC</t>
        </is>
      </c>
    </row>
    <row r="3">
      <c r="A3" t="inlineStr">
        <is>
          <t>Prepared by</t>
        </is>
      </c>
      <c r="B3" t="inlineStr">
        <is>
          <t>Manas Mohanty</t>
        </is>
      </c>
    </row>
  </sheetData>
  <dataValidations count="1">
    <dataValidation sqref="B2" showDropDown="0" showInputMessage="0" showErrorMessage="0" allowBlank="0" type="list">
      <formula1>"IEC,IS"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8" customWidth="1" min="4" max="4"/>
    <col width="10" customWidth="1" min="5" max="5"/>
    <col width="14" customWidth="1" min="6" max="6"/>
    <col width="10" customWidth="1" min="7" max="7"/>
    <col width="11" customWidth="1" min="8" max="8"/>
    <col width="12" customWidth="1" min="9" max="9"/>
    <col width="10" customWidth="1" min="10" max="10"/>
    <col width="10" customWidth="1" min="11" max="11"/>
    <col width="11" customWidth="1" min="12" max="12"/>
    <col width="18" customWidth="1" min="13" max="13"/>
    <col width="14" customWidth="1" min="14" max="14"/>
    <col width="18" customWidth="1" min="15" max="15"/>
    <col width="14" customWidth="1" min="16" max="16"/>
    <col width="17" customWidth="1" min="17" max="17"/>
    <col width="22" customWidth="1" min="18" max="18"/>
  </cols>
  <sheetData>
    <row r="1">
      <c r="A1" t="inlineStr">
        <is>
          <t>tag</t>
        </is>
      </c>
      <c r="B1" t="inlineStr">
        <is>
          <t>phase</t>
        </is>
      </c>
      <c r="C1" t="inlineStr">
        <is>
          <t>voltage_v</t>
        </is>
      </c>
      <c r="D1" t="inlineStr">
        <is>
          <t>design_current_a</t>
        </is>
      </c>
      <c r="E1" t="inlineStr">
        <is>
          <t>load_kw</t>
        </is>
      </c>
      <c r="F1" t="inlineStr">
        <is>
          <t>power_factor</t>
        </is>
      </c>
      <c r="G1" t="inlineStr">
        <is>
          <t>length_m</t>
        </is>
      </c>
      <c r="H1" t="inlineStr">
        <is>
          <t>conductor</t>
        </is>
      </c>
      <c r="I1" t="inlineStr">
        <is>
          <t>insulation</t>
        </is>
      </c>
      <c r="J1" t="inlineStr">
        <is>
          <t>method</t>
        </is>
      </c>
      <c r="K1" t="inlineStr">
        <is>
          <t>cores</t>
        </is>
      </c>
      <c r="L1" t="inlineStr">
        <is>
          <t>ambient_c</t>
        </is>
      </c>
      <c r="M1" t="inlineStr">
        <is>
          <t>grouped_circuits</t>
        </is>
      </c>
      <c r="N1" t="inlineStr">
        <is>
          <t>vd_limit_pct</t>
        </is>
      </c>
      <c r="O1" t="inlineStr">
        <is>
          <t>fault_current_ka</t>
        </is>
      </c>
      <c r="P1" t="inlineStr">
        <is>
          <t>fault_time_s</t>
        </is>
      </c>
      <c r="Q1" t="inlineStr">
        <is>
          <t>device_rating_a</t>
        </is>
      </c>
      <c r="R1" t="inlineStr">
        <is>
          <t>soil_resistivity_kmw</t>
        </is>
      </c>
    </row>
    <row r="2">
      <c r="A2" t="inlineStr">
        <is>
          <t>F-01 Pump motor</t>
        </is>
      </c>
      <c r="B2" t="inlineStr">
        <is>
          <t>3ph</t>
        </is>
      </c>
      <c r="C2" t="n">
        <v>415</v>
      </c>
      <c r="E2" t="n">
        <v>22</v>
      </c>
      <c r="F2" t="n">
        <v>0.85</v>
      </c>
      <c r="G2" t="n">
        <v>60</v>
      </c>
      <c r="H2" t="inlineStr">
        <is>
          <t>Cu</t>
        </is>
      </c>
      <c r="I2" t="inlineStr">
        <is>
          <t>PVC</t>
        </is>
      </c>
      <c r="J2" t="inlineStr">
        <is>
          <t>C</t>
        </is>
      </c>
      <c r="K2" t="n">
        <v>3</v>
      </c>
      <c r="L2" t="n">
        <v>40</v>
      </c>
      <c r="M2" t="n">
        <v>2</v>
      </c>
      <c r="N2" t="n">
        <v>5</v>
      </c>
      <c r="O2" t="n">
        <v>5</v>
      </c>
      <c r="P2" t="n">
        <v>0.1</v>
      </c>
      <c r="Q2" t="n">
        <v>50</v>
      </c>
    </row>
    <row r="3">
      <c r="A3" t="inlineStr">
        <is>
          <t>F-02 Yard lighting</t>
        </is>
      </c>
      <c r="B3" t="inlineStr">
        <is>
          <t>1ph</t>
        </is>
      </c>
      <c r="C3" t="n">
        <v>230</v>
      </c>
      <c r="D3" t="n">
        <v>10</v>
      </c>
      <c r="F3" t="n">
        <v>0.9</v>
      </c>
      <c r="G3" t="n">
        <v>95</v>
      </c>
      <c r="H3" t="inlineStr">
        <is>
          <t>Cu</t>
        </is>
      </c>
      <c r="I3" t="inlineStr">
        <is>
          <t>PVC</t>
        </is>
      </c>
      <c r="J3" t="inlineStr">
        <is>
          <t>B1</t>
        </is>
      </c>
      <c r="K3" t="n">
        <v>2</v>
      </c>
      <c r="L3" t="n">
        <v>35</v>
      </c>
      <c r="M3" t="n">
        <v>2</v>
      </c>
      <c r="N3" t="n">
        <v>3</v>
      </c>
      <c r="O3" t="n">
        <v>1</v>
      </c>
      <c r="P3" t="n">
        <v>0.1</v>
      </c>
      <c r="Q3" t="n">
        <v>16</v>
      </c>
    </row>
    <row r="4">
      <c r="A4" t="inlineStr">
        <is>
          <t>F-03 Board tail</t>
        </is>
      </c>
      <c r="B4" t="inlineStr">
        <is>
          <t>3ph</t>
        </is>
      </c>
      <c r="C4" t="n">
        <v>415</v>
      </c>
      <c r="D4" t="n">
        <v>40</v>
      </c>
      <c r="F4" t="n">
        <v>0.9</v>
      </c>
      <c r="G4" t="n">
        <v>10</v>
      </c>
      <c r="H4" t="inlineStr">
        <is>
          <t>Cu</t>
        </is>
      </c>
      <c r="I4" t="inlineStr">
        <is>
          <t>XLPE</t>
        </is>
      </c>
      <c r="J4" t="inlineStr">
        <is>
          <t>E</t>
        </is>
      </c>
      <c r="K4" t="n">
        <v>3</v>
      </c>
      <c r="L4" t="n">
        <v>30</v>
      </c>
      <c r="M4" t="n">
        <v>1</v>
      </c>
      <c r="N4" t="n">
        <v>5</v>
      </c>
      <c r="O4" t="n">
        <v>25</v>
      </c>
      <c r="P4" t="n">
        <v>0.4</v>
      </c>
      <c r="Q4" t="n">
        <v>50</v>
      </c>
    </row>
    <row r="5">
      <c r="A5" t="inlineStr">
        <is>
          <t>F-04 Store building</t>
        </is>
      </c>
      <c r="B5" t="inlineStr">
        <is>
          <t>3ph</t>
        </is>
      </c>
      <c r="C5" t="n">
        <v>415</v>
      </c>
      <c r="D5" t="n">
        <v>150</v>
      </c>
      <c r="F5" t="n">
        <v>0.85</v>
      </c>
      <c r="G5" t="n">
        <v>150</v>
      </c>
      <c r="H5" t="inlineStr">
        <is>
          <t>Al</t>
        </is>
      </c>
      <c r="I5" t="inlineStr">
        <is>
          <t>XLPE</t>
        </is>
      </c>
      <c r="J5" t="inlineStr">
        <is>
          <t>D2</t>
        </is>
      </c>
      <c r="K5" t="n">
        <v>3</v>
      </c>
      <c r="L5" t="n">
        <v>30</v>
      </c>
      <c r="M5" t="n">
        <v>2</v>
      </c>
      <c r="N5" t="n">
        <v>5</v>
      </c>
      <c r="O5" t="n">
        <v>10</v>
      </c>
      <c r="P5" t="n">
        <v>0.3</v>
      </c>
      <c r="Q5" t="n">
        <v>160</v>
      </c>
    </row>
    <row r="6">
      <c r="A6" t="inlineStr">
        <is>
          <t>F-05 Main incomer</t>
        </is>
      </c>
      <c r="B6" t="inlineStr">
        <is>
          <t>3ph</t>
        </is>
      </c>
      <c r="C6" t="n">
        <v>415</v>
      </c>
      <c r="D6" t="n">
        <v>600</v>
      </c>
      <c r="F6" t="n">
        <v>0.9</v>
      </c>
      <c r="G6" t="n">
        <v>40</v>
      </c>
      <c r="H6" t="inlineStr">
        <is>
          <t>Cu</t>
        </is>
      </c>
      <c r="I6" t="inlineStr">
        <is>
          <t>PVC</t>
        </is>
      </c>
      <c r="J6" t="inlineStr">
        <is>
          <t>C</t>
        </is>
      </c>
      <c r="K6" t="n">
        <v>3</v>
      </c>
      <c r="L6" t="n">
        <v>40</v>
      </c>
      <c r="M6" t="n">
        <v>3</v>
      </c>
      <c r="N6" t="n">
        <v>5</v>
      </c>
      <c r="O6" t="n">
        <v>25</v>
      </c>
      <c r="P6" t="n">
        <v>0.4</v>
      </c>
      <c r="Q6" t="n">
        <v>630</v>
      </c>
    </row>
  </sheetData>
  <dataValidations count="4">
    <dataValidation sqref="B2:B500" showDropDown="0" showInputMessage="0" showErrorMessage="0" allowBlank="0" type="list">
      <formula1>"1ph,3ph"</formula1>
    </dataValidation>
    <dataValidation sqref="H2:H500" showDropDown="0" showInputMessage="0" showErrorMessage="0" allowBlank="0" type="list">
      <formula1>"Cu,Al"</formula1>
    </dataValidation>
    <dataValidation sqref="I2:I500" showDropDown="0" showInputMessage="0" showErrorMessage="0" allowBlank="0" type="list">
      <formula1>"PVC,XLPE"</formula1>
    </dataValidation>
    <dataValidation sqref="J2:J500" showDropDown="0" showInputMessage="0" showErrorMessage="0" allowBlank="0" type="list">
      <formula1>"A1,A2,B1,B2,C,E,D1,D2"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0" customWidth="1" min="3" max="3"/>
  </cols>
  <sheetData>
    <row r="1">
      <c r="A1" t="inlineStr">
        <is>
          <t>Column</t>
        </is>
      </c>
      <c r="B1" t="inlineStr">
        <is>
          <t>Unit</t>
        </is>
      </c>
      <c r="C1" t="inlineStr">
        <is>
          <t>What to enter</t>
        </is>
      </c>
    </row>
    <row r="2">
      <c r="A2" t="inlineStr">
        <is>
          <t>tag</t>
        </is>
      </c>
      <c r="B2" t="inlineStr">
        <is>
          <t>-</t>
        </is>
      </c>
      <c r="C2" t="inlineStr">
        <is>
          <t>Cable reference, e.g. F-01. Required.</t>
        </is>
      </c>
    </row>
    <row r="3">
      <c r="A3" t="inlineStr">
        <is>
          <t>phase</t>
        </is>
      </c>
      <c r="B3" t="inlineStr">
        <is>
          <t>-</t>
        </is>
      </c>
      <c r="C3" t="inlineStr">
        <is>
          <t>1ph or 3ph.</t>
        </is>
      </c>
    </row>
    <row r="4">
      <c r="A4" t="inlineStr">
        <is>
          <t>voltage_v</t>
        </is>
      </c>
      <c r="B4" t="inlineStr">
        <is>
          <t>V</t>
        </is>
      </c>
      <c r="C4" t="inlineStr">
        <is>
          <t>Line voltage for 3ph (e.g. 415), phase voltage for 1ph (e.g. 230).</t>
        </is>
      </c>
    </row>
    <row r="5">
      <c r="A5" t="inlineStr">
        <is>
          <t>design_current_a</t>
        </is>
      </c>
      <c r="B5" t="inlineStr">
        <is>
          <t>A</t>
        </is>
      </c>
      <c r="C5" t="inlineStr">
        <is>
          <t>Design current Ib. Leave blank to calculate it from load_kw.</t>
        </is>
      </c>
    </row>
    <row r="6">
      <c r="A6" t="inlineStr">
        <is>
          <t>load_kw</t>
        </is>
      </c>
      <c r="B6" t="inlineStr">
        <is>
          <t>kW</t>
        </is>
      </c>
      <c r="C6" t="inlineStr">
        <is>
          <t>Used only when design_current_a is blank.</t>
        </is>
      </c>
    </row>
    <row r="7">
      <c r="A7" t="inlineStr">
        <is>
          <t>power_factor</t>
        </is>
      </c>
      <c r="B7" t="inlineStr">
        <is>
          <t>-</t>
        </is>
      </c>
      <c r="C7" t="inlineStr">
        <is>
          <t>Between 0 and 1, e.g. 0.85.</t>
        </is>
      </c>
    </row>
    <row r="8">
      <c r="A8" t="inlineStr">
        <is>
          <t>length_m</t>
        </is>
      </c>
      <c r="B8" t="inlineStr">
        <is>
          <t>m</t>
        </is>
      </c>
      <c r="C8" t="inlineStr">
        <is>
          <t>Route length, one way.</t>
        </is>
      </c>
    </row>
    <row r="9">
      <c r="A9" t="inlineStr">
        <is>
          <t>conductor</t>
        </is>
      </c>
      <c r="B9" t="inlineStr">
        <is>
          <t>-</t>
        </is>
      </c>
      <c r="C9" t="inlineStr">
        <is>
          <t>Cu or Al.</t>
        </is>
      </c>
    </row>
    <row r="10">
      <c r="A10" t="inlineStr">
        <is>
          <t>insulation</t>
        </is>
      </c>
      <c r="B10" t="inlineStr">
        <is>
          <t>-</t>
        </is>
      </c>
      <c r="C10" t="inlineStr">
        <is>
          <t>PVC or XLPE.</t>
        </is>
      </c>
    </row>
    <row r="11">
      <c r="A11" t="inlineStr">
        <is>
          <t>method</t>
        </is>
      </c>
      <c r="B11" t="inlineStr">
        <is>
          <t>-</t>
        </is>
      </c>
      <c r="C11" t="inlineStr">
        <is>
          <t>Installation method: A1, A2, B1, B2, C, E, D1, D2. Each is described in the Installation methods list below.</t>
        </is>
      </c>
    </row>
    <row r="12">
      <c r="A12" t="inlineStr">
        <is>
          <t>cores</t>
        </is>
      </c>
      <c r="B12" t="inlineStr">
        <is>
          <t>-</t>
        </is>
      </c>
      <c r="C12" t="inlineStr">
        <is>
          <t>LOADED conductors: 2 for 1ph, 3 for 3ph (a 4-core 3ph cable is entered as 3).</t>
        </is>
      </c>
    </row>
    <row r="13">
      <c r="A13" t="inlineStr">
        <is>
          <t>ambient_c</t>
        </is>
      </c>
      <c r="B13" t="inlineStr">
        <is>
          <t>deg C</t>
        </is>
      </c>
      <c r="C13" t="inlineStr">
        <is>
          <t>Air temperature; for D1 and D2 the ground temperature. Between table rows, the next higher row is used.</t>
        </is>
      </c>
    </row>
    <row r="14">
      <c r="A14" t="inlineStr">
        <is>
          <t>grouped_circuits</t>
        </is>
      </c>
      <c r="B14" t="inlineStr">
        <is>
          <t>-</t>
        </is>
      </c>
      <c r="C14" t="inlineStr">
        <is>
          <t>Number of circuits in the group, including this one. 1 if alone.</t>
        </is>
      </c>
    </row>
    <row r="15">
      <c r="A15" t="inlineStr">
        <is>
          <t>vd_limit_pct</t>
        </is>
      </c>
      <c r="B15" t="inlineStr">
        <is>
          <t>%</t>
        </is>
      </c>
      <c r="C15" t="inlineStr">
        <is>
          <t>Permitted voltage drop, e.g. 5.</t>
        </is>
      </c>
    </row>
    <row r="16">
      <c r="A16" t="inlineStr">
        <is>
          <t>fault_current_ka</t>
        </is>
      </c>
      <c r="B16" t="inlineStr">
        <is>
          <t>kA</t>
        </is>
      </c>
      <c r="C16" t="inlineStr">
        <is>
          <t>Prospective fault current at the cable.</t>
        </is>
      </c>
    </row>
    <row r="17">
      <c r="A17" t="inlineStr">
        <is>
          <t>fault_time_s</t>
        </is>
      </c>
      <c r="B17" t="inlineStr">
        <is>
          <t>s</t>
        </is>
      </c>
      <c r="C17" t="inlineStr">
        <is>
          <t>Disconnection time of the protective device for that fault.</t>
        </is>
      </c>
    </row>
    <row r="18">
      <c r="A18" t="inlineStr">
        <is>
          <t>device_rating_a</t>
        </is>
      </c>
      <c r="B18" t="inlineStr">
        <is>
          <t>A</t>
        </is>
      </c>
      <c r="C18" t="inlineStr">
        <is>
          <t>Rating In of the overload device. Leave blank if there is none.</t>
        </is>
      </c>
    </row>
    <row r="19">
      <c r="A19" t="inlineStr">
        <is>
          <t>soil_resistivity_kmw</t>
        </is>
      </c>
      <c r="B19" t="inlineStr">
        <is>
          <t>K.m/W</t>
        </is>
      </c>
      <c r="C19" t="inlineStr">
        <is>
          <t>D1 and D2 only. Leave blank for 2.5.</t>
        </is>
      </c>
    </row>
    <row r="21">
      <c r="A21" t="inlineStr">
        <is>
          <t>Installation methods</t>
        </is>
      </c>
      <c r="B21" t="inlineStr"/>
      <c r="C21" t="inlineStr">
        <is>
          <t>Where the cable runs, and the grouping factors used</t>
        </is>
      </c>
    </row>
    <row r="22">
      <c r="A22" t="inlineStr">
        <is>
          <t>A1</t>
        </is>
      </c>
      <c r="B22" t="inlineStr"/>
      <c r="C22" t="inlineStr">
        <is>
          <t>Single-core cables or insulated conductors in conduit in a thermally insulated wall. Grouping: bunched or enclosed (Table 36 item 1).</t>
        </is>
      </c>
    </row>
    <row r="23">
      <c r="A23" t="inlineStr">
        <is>
          <t>A2</t>
        </is>
      </c>
      <c r="B23" t="inlineStr"/>
      <c r="C23" t="inlineStr">
        <is>
          <t>Multi-core cable in conduit in a thermally insulated wall. Grouping: bunched or enclosed (Table 36 item 1).</t>
        </is>
      </c>
    </row>
    <row r="24">
      <c r="A24" t="inlineStr">
        <is>
          <t>B1</t>
        </is>
      </c>
      <c r="B24" t="inlineStr"/>
      <c r="C24" t="inlineStr">
        <is>
          <t>Single-core cables or insulated conductors in conduit or trunking on a wall, less than 0.3 x conduit diameter from it. Grouping: bunched or enclosed (Table 36 item 1).</t>
        </is>
      </c>
    </row>
    <row r="25">
      <c r="A25" t="inlineStr">
        <is>
          <t>B2</t>
        </is>
      </c>
      <c r="B25" t="inlineStr"/>
      <c r="C25" t="inlineStr">
        <is>
          <t>Multi-core cable in conduit on a wall, less than 0.3 x conduit diameter from it. Grouping: bunched or enclosed (Table 36 item 1).</t>
        </is>
      </c>
    </row>
    <row r="26">
      <c r="A26" t="inlineStr">
        <is>
          <t>C</t>
        </is>
      </c>
      <c r="B26" t="inlineStr"/>
      <c r="C26" t="inlineStr">
        <is>
          <t>Single-core or multi-core cable fixed on a wall, less than 0.3 x cable diameter from it; also used for cable on unperforated tray and cable direct in masonry. Grouping: single layer on wall, floor or unperforated tray (Table 36 item 2).</t>
        </is>
      </c>
    </row>
    <row r="27">
      <c r="A27" t="inlineStr">
        <is>
          <t>E</t>
        </is>
      </c>
      <c r="B27" t="inlineStr"/>
      <c r="C27" t="inlineStr">
        <is>
          <t>Multi-core cable in free air, at least 0.3 x cable diameter clear of any surface, for example on perforated tray, brackets or ladder. Grouping: single layer on perforated tray (Table 36 item 4).</t>
        </is>
      </c>
    </row>
    <row r="28">
      <c r="A28" t="inlineStr">
        <is>
          <t>D1</t>
        </is>
      </c>
      <c r="B28" t="inlineStr"/>
      <c r="C28" t="inlineStr">
        <is>
          <t>Multi-core cable in ducts in the ground (reference: 100 mm duct, 0.7 m deep). Grouping: ducts touching (Table 38).</t>
        </is>
      </c>
    </row>
    <row r="29">
      <c r="A29" t="inlineStr">
        <is>
          <t>D2</t>
        </is>
      </c>
      <c r="B29" t="inlineStr"/>
      <c r="C29" t="inlineStr">
        <is>
          <t>Cable laid direct in the ground (reference: 0.7 m deep). Grouping: cables touching (Table 37).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2026-09-21T13:00:26Z</dcterms:created>
  <dcterms:modified xmlns:dcterms="http://purl.org/dc/terms/" xmlns:xsi="http://www.w3.org/2001/XMLSchema-instance" xsi:type="dcterms:W3CDTF">2026-09-22T05:48:45Z</dcterms:modified>
</cp:coreProperties>
</file>